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 Compon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<sst xmlns="http://schemas.openxmlformats.org/spreadsheetml/2006/main" count="89" uniqueCount="68">
  <si>
    <t xml:space="preserve">ABSIS ALE</t>
  </si>
  <si>
    <t xml:space="preserve">REF</t>
  </si>
  <si>
    <t xml:space="preserve">VALUE</t>
  </si>
  <si>
    <t xml:space="preserve">Footprint</t>
  </si>
  <si>
    <t xml:space="preserve">Datasheet</t>
  </si>
  <si>
    <t xml:space="preserve">LCSC/JLCPCB</t>
  </si>
  <si>
    <t xml:space="preserve">PN</t>
  </si>
  <si>
    <t xml:space="preserve">QTY/PCB</t>
  </si>
  <si>
    <t xml:space="preserve">Source</t>
  </si>
  <si>
    <t xml:space="preserve">Price/EA</t>
  </si>
  <si>
    <t xml:space="preserve">Price/EXT/PCB</t>
  </si>
  <si>
    <t xml:space="preserve"># OF PCBS</t>
  </si>
  <si>
    <t xml:space="preserve">QTY/Ext</t>
  </si>
  <si>
    <t xml:space="preserve">Price/Ext</t>
  </si>
  <si>
    <t xml:space="preserve">    J1, J2</t>
  </si>
  <si>
    <t xml:space="preserve">BUS IN, BUS OUT</t>
  </si>
  <si>
    <t xml:space="preserve">Connector_Molex:Molex_Mini-Fit_Jr_5566-06A2_2x03_P4.20mm_Vertical</t>
  </si>
  <si>
    <t xml:space="preserve">https://www.molex.com/pdm_docs/sd/039299067_sd.pdf</t>
  </si>
  <si>
    <t xml:space="preserve">N/A</t>
  </si>
  <si>
    <t xml:space="preserve">https://www.digikey.com/en/products/detail/0039299067/900-0039299067-ND/2002683</t>
  </si>
  <si>
    <t xml:space="preserve">    J3, J4</t>
  </si>
  <si>
    <t xml:space="preserve">I/O #1, I/O #2</t>
  </si>
  <si>
    <t xml:space="preserve">Connector_PinHeader_2.54mm:PinHeader_2x06_P2.54mm_Vertical</t>
  </si>
  <si>
    <t xml:space="preserve">https://datasheet.lcsc.com/lcsc/1810241611_Ckmtw-Shenzhen-Cankemeng-B-2100S12P-B110_C124388.pdf</t>
  </si>
  <si>
    <t xml:space="preserve">C124388</t>
  </si>
  <si>
    <t xml:space="preserve">PH2-224/100-121</t>
  </si>
  <si>
    <t xml:space="preserve">    J5</t>
  </si>
  <si>
    <t xml:space="preserve">GND</t>
  </si>
  <si>
    <t xml:space="preserve">Connector_PinHeader_2.54mm:PinHeader_1x06_P2.54mm_Vertical</t>
  </si>
  <si>
    <t xml:space="preserve">https://datasheet.lcsc.com/lcsc/1810312320_BOOMELE-Boom-Precision-Elec-C37208_C37208.pdf</t>
  </si>
  <si>
    <t xml:space="preserve">C37208</t>
  </si>
  <si>
    <t xml:space="preserve">    J6</t>
  </si>
  <si>
    <t xml:space="preserve">ACC PWR</t>
  </si>
  <si>
    <t xml:space="preserve">Connector_PinHeader_2.54mm:PinHeader_2x02_P2.54mm_Vertical</t>
  </si>
  <si>
    <t xml:space="preserve">https://jlcpcb.com/partdetail/boomele_boom_Precision_elec-C66690/C66690</t>
  </si>
  <si>
    <t xml:space="preserve">C66690</t>
  </si>
  <si>
    <t xml:space="preserve">    XU1</t>
  </si>
  <si>
    <t xml:space="preserve">ProMicro_5V/16Hz</t>
  </si>
  <si>
    <t xml:space="preserve">Package_DIP:DIP-24_W15.24mm_Socket</t>
  </si>
  <si>
    <t xml:space="preserve">https://datasheet.lcsc.com/lcsc/1810271810_CONNFLY-Elec-DS1009-24AT1WX-0A2_C72120.pdf</t>
  </si>
  <si>
    <t xml:space="preserve">C72120</t>
  </si>
  <si>
    <t xml:space="preserve">ICS-624-T</t>
  </si>
  <si>
    <t xml:space="preserve">https://www.digikey.com/en/products/detail/adam-tech/ICS-624-T/9832867</t>
  </si>
  <si>
    <t xml:space="preserve">ABSIS ALE RELAY MODULE</t>
  </si>
  <si>
    <t xml:space="preserve">QTY</t>
  </si>
  <si>
    <t xml:space="preserve">J1</t>
  </si>
  <si>
    <t xml:space="preserve">THRU</t>
  </si>
  <si>
    <t xml:space="preserve">Connector_PinSocket_2.54mm:PinSocket_2x16_P2.54mm_Vertical</t>
  </si>
  <si>
    <t xml:space="preserve">https://www.mouser.com/datasheet/2/527/ssq_th-1370157.pdf</t>
  </si>
  <si>
    <t xml:space="preserve">SSQ-116-03-T-D</t>
  </si>
  <si>
    <t xml:space="preserve">https://www.digikey.com/en/products/detail/samtec-inc/SSQ-116-03-T-D/1111844</t>
  </si>
  <si>
    <t xml:space="preserve">J2</t>
  </si>
  <si>
    <t xml:space="preserve">Connector_PinSocket_2.54mm:PinSocket_1x06_P2.54mm_Vertical</t>
  </si>
  <si>
    <t xml:space="preserve">SSQ-106-03-L-S</t>
  </si>
  <si>
    <t xml:space="preserve">J3, J4</t>
  </si>
  <si>
    <t xml:space="preserve">...</t>
  </si>
  <si>
    <t xml:space="preserve">Connector_JST:JST_PH_B2B-PH-K_1x02_P2.00mm_Vertical</t>
  </si>
  <si>
    <t xml:space="preserve">https://www.jst-mfg.com/product/pdf/eng/ePH.pdf</t>
  </si>
  <si>
    <t xml:space="preserve">B2B-PH-K-S(LF)(SN)</t>
  </si>
  <si>
    <t xml:space="preserve">JP1, JP2, JP4, JP5</t>
  </si>
  <si>
    <t xml:space="preserve">Connector_PinHeader_2.54mm:PinHeader_1x03_P2.54mm_Vertical</t>
  </si>
  <si>
    <t xml:space="preserve">https://app.adam-tech.com/products/download/data_sheet/201605/ph1-xx-ua-data-sheet.pdf</t>
  </si>
  <si>
    <t xml:space="preserve">PH1-03-UA</t>
  </si>
  <si>
    <t xml:space="preserve">Q1, Q4</t>
  </si>
  <si>
    <t xml:space="preserve">IRFB3206PBF</t>
  </si>
  <si>
    <t xml:space="preserve">Package_TO_SOT_THT:TO-220-3_Vertical</t>
  </si>
  <si>
    <t xml:space="preserve">https://datasheet.lcsc.com/szlcsc/1806111728_Infineon-Technologies-IRFB3206PBF_C2642.pdf</t>
  </si>
  <si>
    <t xml:space="preserve">C2642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</si>
</sst>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lex.com/pdm_docs/sd/039299067_sd.pdf" TargetMode="External"/><Relationship Id="rId2" Type="http://schemas.openxmlformats.org/officeDocument/2006/relationships/hyperlink" Target="https://www.digikey.com/en/products/detail/0039299067/900-0039299067-ND/2002683" TargetMode="External"/><Relationship Id="rId3" Type="http://schemas.openxmlformats.org/officeDocument/2006/relationships/hyperlink" Target="https://datasheet.lcsc.com/lcsc/1810241611_Ckmtw-Shenzhen-Cankemeng-B-2100S12P-B110_C124388.pdf" TargetMode="External"/><Relationship Id="rId4" Type="http://schemas.openxmlformats.org/officeDocument/2006/relationships/hyperlink" Target="https://datasheet.lcsc.com/lcsc/1810312320_BOOMELE-Boom-Precision-Elec-C37208_C37208.pdf" TargetMode="External"/><Relationship Id="rId5" Type="http://schemas.openxmlformats.org/officeDocument/2006/relationships/hyperlink" Target="https://jlcpcb.com/partdetail/boomele_boom_Precision_elec-C66690/C66690" TargetMode="External"/><Relationship Id="rId6" Type="http://schemas.openxmlformats.org/officeDocument/2006/relationships/hyperlink" Target="https://datasheet.lcsc.com/lcsc/1810271810_CONNFLY-Elec-DS1009-24AT1WX-0A2_C72120.pdf" TargetMode="External"/><Relationship Id="rId7" Type="http://schemas.openxmlformats.org/officeDocument/2006/relationships/hyperlink" Target="https://www.digikey.com/en/products/detail/adam-tech/ICS-624-T/9832867" TargetMode="External"/><Relationship Id="rId8" Type="http://schemas.openxmlformats.org/officeDocument/2006/relationships/hyperlink" Target="https://www.mouser.com/datasheet/2/527/ssq_th-1370157.pdf" TargetMode="External"/><Relationship Id="rId9" Type="http://schemas.openxmlformats.org/officeDocument/2006/relationships/hyperlink" Target="https://www.digikey.com/en/products/detail/samtec-inc/SSQ-116-03-T-D/1111844" TargetMode="External"/><Relationship Id="rId10" Type="http://schemas.openxmlformats.org/officeDocument/2006/relationships/hyperlink" Target="https://www.mouser.com/datasheet/2/527/ssq_th-1370157.pdf" TargetMode="External"/><Relationship Id="rId11" Type="http://schemas.openxmlformats.org/officeDocument/2006/relationships/hyperlink" Target="https://www.jst-mfg.com/product/pdf/eng/ePH.pdf" TargetMode="External"/><Relationship Id="rId12" Type="http://schemas.openxmlformats.org/officeDocument/2006/relationships/hyperlink" Target="https://app.adam-tech.com/products/download/data_sheet/201605/ph1-xx-ua-data-sheet.pdf" TargetMode="External"/><Relationship Id="rId13" Type="http://schemas.openxmlformats.org/officeDocument/2006/relationships/hyperlink" Target="https://datasheet.lcsc.com/szlcsc/1806111728_Infineon-Technologies-IRFB3206PBF_C2642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.43"/>
    <col collapsed="false" customWidth="true" hidden="false" outlineLevel="0" max="3" min="3" style="0" width="47.14"/>
    <col collapsed="false" customWidth="true" hidden="false" outlineLevel="0" max="4" min="4" style="0" width="30.29"/>
    <col collapsed="false" customWidth="true" hidden="false" outlineLevel="0" max="6" min="6" style="0" width="18.4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s="2" customFormat="tru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3" t="s">
        <v>16</v>
      </c>
      <c r="D3" s="4" t="s">
        <v>17</v>
      </c>
      <c r="E3" s="0" t="s">
        <v>18</v>
      </c>
      <c r="F3" s="0" t="n">
        <v>39299067</v>
      </c>
      <c r="G3" s="0" t="n">
        <v>2</v>
      </c>
      <c r="H3" s="4" t="s">
        <v>19</v>
      </c>
      <c r="I3" s="0" t="n">
        <v>1.27</v>
      </c>
      <c r="J3" s="0" t="n">
        <f aca="false">G3*I3</f>
        <v>2.54</v>
      </c>
      <c r="K3" s="5" t="n">
        <v>20</v>
      </c>
      <c r="L3" s="0" t="n">
        <f aca="false">G3*$K$3</f>
        <v>40</v>
      </c>
      <c r="M3" s="0" t="n">
        <f aca="false">I3*L3</f>
        <v>50.8</v>
      </c>
    </row>
    <row r="4" customFormat="false" ht="15" hidden="false" customHeight="false" outlineLevel="0" collapsed="false">
      <c r="A4" s="0" t="s">
        <v>20</v>
      </c>
      <c r="B4" s="0" t="s">
        <v>21</v>
      </c>
      <c r="C4" s="6" t="s">
        <v>22</v>
      </c>
      <c r="D4" s="4" t="s">
        <v>23</v>
      </c>
      <c r="E4" s="0" t="s">
        <v>24</v>
      </c>
      <c r="F4" s="0" t="s">
        <v>25</v>
      </c>
      <c r="G4" s="0" t="n">
        <v>2</v>
      </c>
      <c r="K4" s="5"/>
      <c r="L4" s="0" t="n">
        <f aca="false">G4*$K$3</f>
        <v>40</v>
      </c>
      <c r="M4" s="0" t="n">
        <f aca="false">I4*L4</f>
        <v>0</v>
      </c>
    </row>
    <row r="5" customFormat="false" ht="15" hidden="false" customHeight="false" outlineLevel="0" collapsed="false">
      <c r="A5" s="0" t="s">
        <v>26</v>
      </c>
      <c r="B5" s="0" t="s">
        <v>27</v>
      </c>
      <c r="C5" s="6" t="s">
        <v>28</v>
      </c>
      <c r="D5" s="4" t="s">
        <v>29</v>
      </c>
      <c r="E5" s="0" t="s">
        <v>30</v>
      </c>
      <c r="F5" s="0" t="s">
        <v>30</v>
      </c>
      <c r="G5" s="0" t="n">
        <v>1</v>
      </c>
      <c r="K5" s="5"/>
      <c r="L5" s="0" t="n">
        <f aca="false">G5*$K$3</f>
        <v>20</v>
      </c>
      <c r="M5" s="0" t="n">
        <f aca="false">I5*L5</f>
        <v>0</v>
      </c>
    </row>
    <row r="6" customFormat="false" ht="15" hidden="false" customHeight="false" outlineLevel="0" collapsed="false">
      <c r="A6" s="0" t="s">
        <v>31</v>
      </c>
      <c r="B6" s="0" t="s">
        <v>32</v>
      </c>
      <c r="C6" s="6" t="s">
        <v>33</v>
      </c>
      <c r="D6" s="4" t="s">
        <v>34</v>
      </c>
      <c r="E6" s="0" t="s">
        <v>35</v>
      </c>
      <c r="F6" s="0" t="s">
        <v>35</v>
      </c>
      <c r="G6" s="0" t="n">
        <v>1</v>
      </c>
      <c r="K6" s="5"/>
      <c r="L6" s="0" t="n">
        <f aca="false">G6*$K$3</f>
        <v>20</v>
      </c>
      <c r="M6" s="0" t="n">
        <f aca="false">I6*L6</f>
        <v>0</v>
      </c>
    </row>
    <row r="7" customFormat="false" ht="15" hidden="false" customHeight="false" outlineLevel="0" collapsed="false">
      <c r="A7" s="0" t="s">
        <v>36</v>
      </c>
      <c r="B7" s="0" t="s">
        <v>37</v>
      </c>
      <c r="C7" s="6" t="s">
        <v>38</v>
      </c>
      <c r="D7" s="4" t="s">
        <v>39</v>
      </c>
      <c r="E7" s="0" t="s">
        <v>40</v>
      </c>
      <c r="F7" s="0" t="s">
        <v>41</v>
      </c>
      <c r="G7" s="0" t="n">
        <v>1</v>
      </c>
      <c r="H7" s="4" t="s">
        <v>42</v>
      </c>
      <c r="I7" s="0" t="n">
        <v>0.27</v>
      </c>
      <c r="J7" s="0" t="n">
        <f aca="false">G7*I7</f>
        <v>0.27</v>
      </c>
      <c r="K7" s="5"/>
      <c r="L7" s="0" t="n">
        <f aca="false">G7*$K$3</f>
        <v>20</v>
      </c>
      <c r="M7" s="0" t="n">
        <f aca="false">I7*L7</f>
        <v>5.4</v>
      </c>
    </row>
    <row r="8" customFormat="false" ht="15" hidden="false" customHeight="false" outlineLevel="0" collapsed="false">
      <c r="C8" s="6"/>
      <c r="D8" s="4"/>
      <c r="H8" s="4"/>
      <c r="K8" s="7"/>
    </row>
    <row r="9" customFormat="false" ht="15" hidden="false" customHeight="false" outlineLevel="0" collapsed="false">
      <c r="C9" s="6"/>
      <c r="D9" s="4"/>
      <c r="H9" s="4"/>
      <c r="K9" s="7"/>
    </row>
    <row r="10" customFormat="false" ht="15" hidden="false" customHeight="false" outlineLevel="0" collapsed="false">
      <c r="C10" s="6"/>
      <c r="D10" s="4"/>
      <c r="H10" s="4"/>
      <c r="K10" s="7"/>
    </row>
    <row r="11" customFormat="false" ht="15" hidden="false" customHeight="false" outlineLevel="0" collapsed="false">
      <c r="A11" s="1" t="s">
        <v>43</v>
      </c>
      <c r="B11" s="1"/>
      <c r="C11" s="1"/>
      <c r="D11" s="1"/>
      <c r="E11" s="1"/>
      <c r="F11" s="1"/>
      <c r="G11" s="1"/>
    </row>
    <row r="12" s="2" customFormat="true" ht="15" hidden="false" customHeight="false" outlineLevel="0" collapsed="false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44</v>
      </c>
      <c r="H12" s="2" t="s">
        <v>8</v>
      </c>
      <c r="I12" s="2" t="s">
        <v>9</v>
      </c>
      <c r="J12" s="2" t="s">
        <v>10</v>
      </c>
      <c r="K12" s="2" t="s">
        <v>11</v>
      </c>
      <c r="M12" s="2" t="s">
        <v>13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6" t="s">
        <v>47</v>
      </c>
      <c r="D13" s="4" t="s">
        <v>48</v>
      </c>
      <c r="E13" s="0" t="s">
        <v>18</v>
      </c>
      <c r="F13" s="0" t="s">
        <v>49</v>
      </c>
      <c r="G13" s="0" t="n">
        <v>1</v>
      </c>
      <c r="H13" s="4" t="s">
        <v>50</v>
      </c>
      <c r="I13" s="0" t="n">
        <v>3.16</v>
      </c>
      <c r="J13" s="0" t="n">
        <f aca="false">G13*I13</f>
        <v>3.16</v>
      </c>
      <c r="K13" s="5" t="n">
        <v>20</v>
      </c>
      <c r="L13" s="0" t="n">
        <f aca="false">G13*$K$13</f>
        <v>20</v>
      </c>
      <c r="M13" s="0" t="n">
        <f aca="false">I13*L13</f>
        <v>63.2</v>
      </c>
    </row>
    <row r="14" customFormat="false" ht="15" hidden="false" customHeight="false" outlineLevel="0" collapsed="false">
      <c r="A14" s="0" t="s">
        <v>51</v>
      </c>
      <c r="B14" s="0" t="s">
        <v>27</v>
      </c>
      <c r="C14" s="6" t="s">
        <v>52</v>
      </c>
      <c r="D14" s="4" t="s">
        <v>48</v>
      </c>
      <c r="E14" s="0" t="s">
        <v>18</v>
      </c>
      <c r="F14" s="0" t="s">
        <v>53</v>
      </c>
      <c r="G14" s="0" t="n">
        <v>1</v>
      </c>
      <c r="J14" s="0" t="n">
        <f aca="false">G14*I14</f>
        <v>0</v>
      </c>
      <c r="K14" s="5"/>
      <c r="L14" s="0" t="n">
        <f aca="false">G14*$K$13</f>
        <v>20</v>
      </c>
      <c r="M14" s="0" t="n">
        <f aca="false">J14*$K$13</f>
        <v>0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3" t="s">
        <v>56</v>
      </c>
      <c r="D15" s="4" t="s">
        <v>57</v>
      </c>
      <c r="E15" s="0" t="s">
        <v>18</v>
      </c>
      <c r="F15" s="0" t="s">
        <v>58</v>
      </c>
      <c r="G15" s="0" t="n">
        <v>2</v>
      </c>
      <c r="J15" s="0" t="n">
        <f aca="false">G15*I15</f>
        <v>0</v>
      </c>
      <c r="K15" s="5"/>
      <c r="L15" s="0" t="n">
        <f aca="false">G15*$K$13</f>
        <v>40</v>
      </c>
      <c r="M15" s="0" t="n">
        <f aca="false">J15*$K$13</f>
        <v>0</v>
      </c>
    </row>
    <row r="16" customFormat="false" ht="15" hidden="false" customHeight="false" outlineLevel="0" collapsed="false">
      <c r="A16" s="0" t="s">
        <v>59</v>
      </c>
      <c r="B16" s="0" t="s">
        <v>55</v>
      </c>
      <c r="C16" s="6" t="s">
        <v>60</v>
      </c>
      <c r="D16" s="4" t="s">
        <v>61</v>
      </c>
      <c r="E16" s="0" t="s">
        <v>18</v>
      </c>
      <c r="F16" s="0" t="s">
        <v>62</v>
      </c>
      <c r="G16" s="0" t="n">
        <v>4</v>
      </c>
      <c r="J16" s="0" t="n">
        <f aca="false">G16*I16</f>
        <v>0</v>
      </c>
      <c r="K16" s="5"/>
      <c r="L16" s="0" t="n">
        <f aca="false">G16*$K$13</f>
        <v>80</v>
      </c>
      <c r="M16" s="0" t="n">
        <f aca="false">J16*$K$13</f>
        <v>0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6" t="s">
        <v>65</v>
      </c>
      <c r="D17" s="4" t="s">
        <v>66</v>
      </c>
      <c r="E17" s="0" t="s">
        <v>67</v>
      </c>
      <c r="F17" s="0" t="s">
        <v>64</v>
      </c>
      <c r="G17" s="0" t="n">
        <v>2</v>
      </c>
      <c r="J17" s="0" t="n">
        <f aca="false">G17*I17</f>
        <v>0</v>
      </c>
      <c r="K17" s="5"/>
      <c r="L17" s="0" t="n">
        <f aca="false">G17*$K$13</f>
        <v>40</v>
      </c>
      <c r="M17" s="0" t="n">
        <f aca="false">J17*$K$13</f>
        <v>0</v>
      </c>
    </row>
  </sheetData>
  <mergeCells count="4">
    <mergeCell ref="A1:G1"/>
    <mergeCell ref="K3:K7"/>
    <mergeCell ref="A11:G11"/>
    <mergeCell ref="K13:K17"/>
  </mergeCells>
  <hyperlinks>
    <hyperlink ref="D3" r:id="rId1" display="https://www.molex.com/pdm_docs/sd/039299067_sd.pdf"/>
    <hyperlink ref="H3" r:id="rId2" display="https://www.digikey.com/en/products/detail/0039299067/900-0039299067-ND/2002683"/>
    <hyperlink ref="D4" r:id="rId3" display="https://datasheet.lcsc.com/lcsc/1810241611_Ckmtw-Shenzhen-Cankemeng-B-2100S12P-B110_C124388.pdf"/>
    <hyperlink ref="D5" r:id="rId4" display="https://datasheet.lcsc.com/lcsc/1810312320_BOOMELE-Boom-Precision-Elec-C37208_C37208.pdf"/>
    <hyperlink ref="D6" r:id="rId5" display="https://jlcpcb.com/partdetail/boomele_boom_Precision_elec-C66690/C66690"/>
    <hyperlink ref="D7" r:id="rId6" display="https://datasheet.lcsc.com/lcsc/1810271810_CONNFLY-Elec-DS1009-24AT1WX-0A2_C72120.pdf"/>
    <hyperlink ref="H7" r:id="rId7" display="https://www.digikey.com/en/products/detail/adam-tech/ICS-624-T/9832867"/>
    <hyperlink ref="D13" r:id="rId8" display="https://www.mouser.com/datasheet/2/527/ssq_th-1370157.pdf"/>
    <hyperlink ref="H13" r:id="rId9" display="https://www.digikey.com/en/products/detail/samtec-inc/SSQ-116-03-T-D/1111844"/>
    <hyperlink ref="D14" r:id="rId10" display="https://www.mouser.com/datasheet/2/527/ssq_th-1370157.pdf"/>
    <hyperlink ref="D15" r:id="rId11" display="https://www.jst-mfg.com/product/pdf/eng/ePH.pdf"/>
    <hyperlink ref="D16" r:id="rId12" display="https://app.adam-tech.com/products/download/data_sheet/201605/ph1-xx-ua-data-sheet.pdf"/>
    <hyperlink ref="D17" r:id="rId13" display="https://datasheet.lcsc.com/szlcsc/1806111728_Infineon-Technologies-IRFB3206PBF_C2642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2022-07-29T23:18:25Z</dcterms:created>
  <dc:creator>John Steensen</dc:creator>
  <dc:description/>
  <dc:language>en-GB</dc:language>
  <cp:lastModifiedBy/>
  <dcterms:modified xsi:type="dcterms:W3CDTF">2025-09-04T16:54:56Z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